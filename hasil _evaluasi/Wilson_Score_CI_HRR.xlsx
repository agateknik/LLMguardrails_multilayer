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2. KANTOR\03. UI\04. SEMESTER 4\00. THESIS\02. CODE\02. dataset\EVALUASI\"/>
    </mc:Choice>
  </mc:AlternateContent>
  <xr:revisionPtr revIDLastSave="0" documentId="13_ncr:1_{0AD5B87C-9543-4486-920B-9303FD72EB8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Wilson Score CI - HR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6" i="1"/>
  <c r="E11" i="1"/>
  <c r="E10" i="1"/>
  <c r="E9" i="1"/>
  <c r="E8" i="1"/>
  <c r="B8" i="1"/>
  <c r="B10" i="1" s="1"/>
  <c r="B12" i="1" s="1"/>
  <c r="E7" i="1"/>
  <c r="E6" i="1"/>
  <c r="G7" i="1" l="1"/>
  <c r="H7" i="1" s="1"/>
  <c r="I7" i="1" s="1"/>
  <c r="B9" i="1"/>
  <c r="G8" i="1"/>
  <c r="H8" i="1" s="1"/>
  <c r="I8" i="1" s="1"/>
  <c r="F9" i="1"/>
  <c r="B11" i="1"/>
  <c r="G6" i="1" s="1"/>
  <c r="H6" i="1" s="1"/>
  <c r="I6" i="1" s="1"/>
  <c r="F7" i="1"/>
  <c r="B17" i="1"/>
  <c r="K9" i="1" l="1"/>
  <c r="F10" i="1"/>
  <c r="F11" i="1"/>
  <c r="F6" i="1"/>
  <c r="F8" i="1"/>
  <c r="K7" i="1"/>
  <c r="J7" i="1"/>
  <c r="C17" i="1" s="1"/>
  <c r="G11" i="1"/>
  <c r="H11" i="1" s="1"/>
  <c r="I11" i="1" s="1"/>
  <c r="G10" i="1"/>
  <c r="H10" i="1" s="1"/>
  <c r="I10" i="1" s="1"/>
  <c r="G9" i="1"/>
  <c r="H9" i="1" s="1"/>
  <c r="I9" i="1" s="1"/>
  <c r="J9" i="1" s="1"/>
  <c r="C19" i="1" s="1"/>
  <c r="K8" i="1" l="1"/>
  <c r="J8" i="1"/>
  <c r="C18" i="1" s="1"/>
  <c r="J6" i="1"/>
  <c r="C16" i="1" s="1"/>
  <c r="K6" i="1"/>
  <c r="K11" i="1"/>
  <c r="J11" i="1"/>
  <c r="C21" i="1" s="1"/>
  <c r="K10" i="1"/>
  <c r="J10" i="1"/>
  <c r="C20" i="1" s="1"/>
  <c r="L7" i="1"/>
  <c r="E17" i="1" s="1"/>
  <c r="D17" i="1"/>
  <c r="L9" i="1"/>
  <c r="E19" i="1" s="1"/>
  <c r="D19" i="1"/>
  <c r="D21" i="1" l="1"/>
  <c r="L11" i="1"/>
  <c r="E21" i="1" s="1"/>
  <c r="L10" i="1"/>
  <c r="E20" i="1" s="1"/>
  <c r="D20" i="1"/>
  <c r="D16" i="1"/>
  <c r="L6" i="1"/>
  <c r="E16" i="1" s="1"/>
  <c r="L8" i="1"/>
  <c r="E18" i="1" s="1"/>
  <c r="D18" i="1"/>
</calcChain>
</file>

<file path=xl/sharedStrings.xml><?xml version="1.0" encoding="utf-8"?>
<sst xmlns="http://schemas.openxmlformats.org/spreadsheetml/2006/main" count="81" uniqueCount="74">
  <si>
    <t>WILSON SCORE CONFIDENCE INTERVALS — HARMFUL REFUSAL RATE (HRR)</t>
  </si>
  <si>
    <t>Metode: Wilson Score Interval  |  Tingkat Kepercayaan: 95%  |  Z = 1.96  |  n = 200 kueri per grup</t>
  </si>
  <si>
    <t>▶  KONSTANTA INPUT</t>
  </si>
  <si>
    <t>▶  TABEL PERHITUNGAN WILSON SCORE CI — SELURUH GRUP PENGUJIAN HRR</t>
  </si>
  <si>
    <t>Parameter</t>
  </si>
  <si>
    <t>Nilai</t>
  </si>
  <si>
    <t>Grup Pengujian</t>
  </si>
  <si>
    <t>x
(ditolak)</t>
  </si>
  <si>
    <t>HRR
p̂ (%)</t>
  </si>
  <si>
    <t>Numerator Pusat
(p̂ + Z²/2n)</t>
  </si>
  <si>
    <t>Isi Akar
[p̂(1-p̂)/n + Z²/4n²]</t>
  </si>
  <si>
    <t>√ Isi Akar</t>
  </si>
  <si>
    <t>Z × √ ...</t>
  </si>
  <si>
    <t>Lower
95% Wilson CI</t>
  </si>
  <si>
    <t>Upper
95% Wilson CI</t>
  </si>
  <si>
    <t>Width
CI (%)</t>
  </si>
  <si>
    <t>Z (confidence 95%)</t>
  </si>
  <si>
    <t>G1  —  Baseline Chatbot</t>
  </si>
  <si>
    <t>n (total kueri)</t>
  </si>
  <si>
    <t>G2  —  G1 + Input Guardrail</t>
  </si>
  <si>
    <t>Z²  =  Z × Z</t>
  </si>
  <si>
    <t>G3  —  G2 + Context Guardrail</t>
  </si>
  <si>
    <t>Z²/2n</t>
  </si>
  <si>
    <t>G4  —  G3 + Output Guardrail  ★
Proposed Architecture</t>
  </si>
  <si>
    <t>Z²/n</t>
  </si>
  <si>
    <t>G5  —  G1 + Llama Guard</t>
  </si>
  <si>
    <t>Z²/4n²</t>
  </si>
  <si>
    <t>G6  —  G1 + NeMo Guardrails</t>
  </si>
  <si>
    <t>Denominator  1 + Z²/n</t>
  </si>
  <si>
    <t>▶  RINGKASAN HASIL &amp; ANALISIS OVERLAP CI</t>
  </si>
  <si>
    <t>Grup</t>
  </si>
  <si>
    <t>HRR (%)</t>
  </si>
  <si>
    <t>Lower 95% CI</t>
  </si>
  <si>
    <t>Upper 95% CI</t>
  </si>
  <si>
    <t>Width CI</t>
  </si>
  <si>
    <t>Overlap (Ablasi)</t>
  </si>
  <si>
    <t>Overlap (Komparatif)</t>
  </si>
  <si>
    <t>Interpretasi Kunci</t>
  </si>
  <si>
    <t>G1 — Baseline</t>
  </si>
  <si>
    <t>—</t>
  </si>
  <si>
    <t>CI sangat lebar (13,69%); estimasi tidak presisi</t>
  </si>
  <si>
    <t>G2 — +Input Guardrail</t>
  </si>
  <si>
    <t>NO OVERLAP</t>
  </si>
  <si>
    <t>vs G5: Sig.</t>
  </si>
  <si>
    <t>Lompatan terbesar; NO OVERLAP vs G1</t>
  </si>
  <si>
    <t>G3 — +Context Guardrail</t>
  </si>
  <si>
    <t>OVERLAP</t>
  </si>
  <si>
    <t>Inkremental vs G2; borderline</t>
  </si>
  <si>
    <t>G4 — Proposed Arch. ★</t>
  </si>
  <si>
    <t>vs G5: Sig.; vs G6: Borderline</t>
  </si>
  <si>
    <t>CI tersempit (2,69%); kinerja terbaik</t>
  </si>
  <si>
    <t>G5 — Llama Guard</t>
  </si>
  <si>
    <t>Sig. &lt; G4</t>
  </si>
  <si>
    <t>Signifikan di bawah G4 &amp; G6</t>
  </si>
  <si>
    <t>G6 — NeMo Guardrails</t>
  </si>
  <si>
    <t>Borderline &lt; G4</t>
  </si>
  <si>
    <t>Kompetitif namun G4 tetap unggul</t>
  </si>
  <si>
    <t>▶  RUMUS WILSON SCORE CI</t>
  </si>
  <si>
    <t>p̂  (HRR)</t>
  </si>
  <si>
    <t>'=x ÷ n</t>
  </si>
  <si>
    <t>x = jumlah kueri ditolak; n = total kueri diuji</t>
  </si>
  <si>
    <t>Numerator Pusat</t>
  </si>
  <si>
    <t>'=p̂ + z²/2n</t>
  </si>
  <si>
    <t>Titik tengah Wilson — digeser dari p̂ menuju 0,5</t>
  </si>
  <si>
    <t>Isi Akar</t>
  </si>
  <si>
    <t>'=p̂(1−p̂)/n + Z²/4n²)</t>
  </si>
  <si>
    <t>Tetap &gt; 0 meski p̂ = 1 → mengatasi degenerate interval</t>
  </si>
  <si>
    <t>'=(p̂ + z²/2n  −  Z√[...]) ÷ (1 + Z²/n))</t>
  </si>
  <si>
    <t>Batas bawah Wilson; selalu ≥ 0 tanpa kliping buatan</t>
  </si>
  <si>
    <t>'=(p̂ + z²/2n  +  z√[...]) ÷ (1 + Z²/n))</t>
  </si>
  <si>
    <t>Batas atas Wilson; selalu ≤ 1 tanpa kliping buatan</t>
  </si>
  <si>
    <t>Referensi</t>
  </si>
  <si>
    <t>Wilson (1927); Brown, Cai &amp; DasGupta (2001) Stat. Sci. 16(2):101-133</t>
  </si>
  <si>
    <t>Miller et al. (2025) ICLR arXiv:2503.01747 — direkomendasikan untuk evaluasi LLM/AI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</si>
</sst>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000000"/>
    <numFmt numFmtId="167" formatCode="0.0000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00008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6400"/>
      <name val="Arial"/>
      <family val="2"/>
    </font>
    <font>
      <i/>
      <sz val="9"/>
      <color rgb="FF000000"/>
      <name val="Arial"/>
      <family val="2"/>
    </font>
    <font>
      <b/>
      <sz val="9"/>
      <color rgb="FF006400"/>
      <name val="Arial"/>
      <family val="2"/>
    </font>
    <font>
      <b/>
      <sz val="9"/>
      <color rgb="FF8B0000"/>
      <name val="Arial"/>
      <family val="2"/>
    </font>
    <font>
      <sz val="9"/>
      <color rgb="FF8B0000"/>
      <name val="Arial"/>
      <family val="2"/>
    </font>
    <font>
      <b/>
      <sz val="9"/>
      <color rgb="FF00008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F5496"/>
      </patternFill>
    </fill>
    <fill>
      <patternFill patternType="solid">
        <fgColor rgb="FF2F5496"/>
        <bgColor rgb="FF2E75B6"/>
      </patternFill>
    </fill>
    <fill>
      <patternFill patternType="solid">
        <fgColor rgb="FFEBF3FB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EBF3FB"/>
      </patternFill>
    </fill>
    <fill>
      <patternFill patternType="solid">
        <fgColor rgb="FFD6DCE4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6" fillId="7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1" fontId="7" fillId="6" borderId="1" xfId="0" applyNumberFormat="1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10" fontId="8" fillId="7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6" fontId="8" fillId="7" borderId="1" xfId="0" applyNumberFormat="1" applyFont="1" applyFill="1" applyBorder="1" applyAlignment="1">
      <alignment horizontal="center" vertical="center"/>
    </xf>
    <xf numFmtId="2" fontId="8" fillId="7" borderId="1" xfId="0" applyNumberFormat="1" applyFont="1" applyFill="1" applyBorder="1" applyAlignment="1">
      <alignment horizontal="center" vertical="center"/>
    </xf>
    <xf numFmtId="167" fontId="7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 wrapText="1"/>
    </xf>
    <xf numFmtId="1" fontId="7" fillId="6" borderId="3" xfId="0" applyNumberFormat="1" applyFont="1" applyFill="1" applyBorder="1" applyAlignment="1">
      <alignment horizontal="center" vertical="center"/>
    </xf>
    <xf numFmtId="10" fontId="9" fillId="8" borderId="3" xfId="0" applyNumberFormat="1" applyFont="1" applyFill="1" applyBorder="1" applyAlignment="1">
      <alignment horizontal="center" vertical="center"/>
    </xf>
    <xf numFmtId="165" fontId="8" fillId="8" borderId="3" xfId="0" applyNumberFormat="1" applyFont="1" applyFill="1" applyBorder="1" applyAlignment="1">
      <alignment horizontal="center" vertical="center"/>
    </xf>
    <xf numFmtId="166" fontId="8" fillId="8" borderId="3" xfId="0" applyNumberFormat="1" applyFont="1" applyFill="1" applyBorder="1" applyAlignment="1">
      <alignment horizontal="center" vertical="center"/>
    </xf>
    <xf numFmtId="2" fontId="9" fillId="8" borderId="3" xfId="0" applyNumberFormat="1" applyFont="1" applyFill="1" applyBorder="1" applyAlignment="1">
      <alignment horizontal="center" vertical="center"/>
    </xf>
    <xf numFmtId="2" fontId="8" fillId="8" borderId="4" xfId="0" applyNumberFormat="1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N17" sqref="N17"/>
    </sheetView>
  </sheetViews>
  <sheetFormatPr defaultColWidth="8.7109375" defaultRowHeight="15" x14ac:dyDescent="0.25"/>
  <cols>
    <col min="1" max="1" width="30" customWidth="1"/>
    <col min="2" max="2" width="12" customWidth="1"/>
    <col min="3" max="3" width="31" bestFit="1" customWidth="1"/>
    <col min="4" max="4" width="18" customWidth="1"/>
    <col min="5" max="5" width="22" customWidth="1"/>
    <col min="6" max="6" width="16" bestFit="1" customWidth="1"/>
    <col min="7" max="7" width="24" bestFit="1" customWidth="1"/>
    <col min="8" max="9" width="17" customWidth="1"/>
    <col min="10" max="10" width="12" customWidth="1"/>
    <col min="11" max="11" width="18" customWidth="1"/>
    <col min="12" max="12" width="25" customWidth="1"/>
  </cols>
  <sheetData>
    <row r="1" spans="1:12" ht="33.7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9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7.5" customHeight="1" x14ac:dyDescent="0.25"/>
    <row r="4" spans="1:12" ht="21.75" customHeight="1" x14ac:dyDescent="0.25">
      <c r="A4" s="8" t="s">
        <v>2</v>
      </c>
      <c r="B4" s="8"/>
      <c r="C4" s="8" t="s">
        <v>3</v>
      </c>
      <c r="D4" s="8"/>
      <c r="E4" s="8"/>
      <c r="F4" s="8"/>
      <c r="G4" s="8"/>
      <c r="H4" s="8"/>
      <c r="I4" s="8"/>
      <c r="J4" s="8"/>
      <c r="K4" s="8"/>
      <c r="L4" s="8"/>
    </row>
    <row r="5" spans="1:12" ht="49.5" customHeight="1" x14ac:dyDescent="0.25">
      <c r="A5" s="11" t="s">
        <v>4</v>
      </c>
      <c r="B5" s="11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  <c r="K5" s="12" t="s">
        <v>14</v>
      </c>
      <c r="L5" s="12" t="s">
        <v>15</v>
      </c>
    </row>
    <row r="6" spans="1:12" x14ac:dyDescent="0.25">
      <c r="A6" s="13" t="s">
        <v>16</v>
      </c>
      <c r="B6" s="14">
        <v>1.96</v>
      </c>
      <c r="C6" s="15" t="s">
        <v>17</v>
      </c>
      <c r="D6" s="16">
        <v>92</v>
      </c>
      <c r="E6" s="17">
        <f t="shared" ref="E6:E11" si="0">D6/B$7</f>
        <v>0.46</v>
      </c>
      <c r="F6" s="18">
        <f t="shared" ref="F6:F11" si="1">E6+B$9</f>
        <v>0.46960400000000002</v>
      </c>
      <c r="G6" s="19">
        <f t="shared" ref="G6:G11" si="2">E6*(1-E6)/B$7+B$11</f>
        <v>1.2660100000000004E-3</v>
      </c>
      <c r="H6" s="18">
        <f t="shared" ref="H6:H11" si="3">SQRT(G6)</f>
        <v>3.5581034273893732E-2</v>
      </c>
      <c r="I6" s="18">
        <f t="shared" ref="I6:I11" si="4">B$6*H6</f>
        <v>6.9738827176831719E-2</v>
      </c>
      <c r="J6" s="20">
        <f t="shared" ref="J6:J11" si="5">(F6-I6)/B$12*100</f>
        <v>39.232931140961256</v>
      </c>
      <c r="K6" s="20">
        <f t="shared" ref="K6:K11" si="6">(F6+I6)/B$12*100</f>
        <v>52.917836906385332</v>
      </c>
      <c r="L6" s="20">
        <f t="shared" ref="L6:L11" si="7">K6-J6</f>
        <v>13.684905765424077</v>
      </c>
    </row>
    <row r="7" spans="1:12" ht="19.5" customHeight="1" x14ac:dyDescent="0.25">
      <c r="A7" s="13" t="s">
        <v>18</v>
      </c>
      <c r="B7" s="16">
        <v>200</v>
      </c>
      <c r="C7" s="21" t="s">
        <v>19</v>
      </c>
      <c r="D7" s="16">
        <v>196</v>
      </c>
      <c r="E7" s="22">
        <f t="shared" si="0"/>
        <v>0.98</v>
      </c>
      <c r="F7" s="23">
        <f t="shared" si="1"/>
        <v>0.98960399999999993</v>
      </c>
      <c r="G7" s="24">
        <f t="shared" si="2"/>
        <v>1.2201000000000007E-4</v>
      </c>
      <c r="H7" s="23">
        <f t="shared" si="3"/>
        <v>1.1045813686641653E-2</v>
      </c>
      <c r="I7" s="23">
        <f t="shared" si="4"/>
        <v>2.164979482581764E-2</v>
      </c>
      <c r="J7" s="25">
        <f t="shared" si="5"/>
        <v>94.971213449480615</v>
      </c>
      <c r="K7" s="25">
        <f t="shared" si="6"/>
        <v>99.219569982360582</v>
      </c>
      <c r="L7" s="25">
        <f t="shared" si="7"/>
        <v>4.2483565328799671</v>
      </c>
    </row>
    <row r="8" spans="1:12" ht="19.5" customHeight="1" x14ac:dyDescent="0.25">
      <c r="A8" s="13" t="s">
        <v>20</v>
      </c>
      <c r="B8" s="26">
        <f>B6^2</f>
        <v>3.8415999999999997</v>
      </c>
      <c r="C8" s="15" t="s">
        <v>21</v>
      </c>
      <c r="D8" s="16">
        <v>198</v>
      </c>
      <c r="E8" s="17">
        <f t="shared" si="0"/>
        <v>0.99</v>
      </c>
      <c r="F8" s="18">
        <f t="shared" si="1"/>
        <v>0.99960399999999994</v>
      </c>
      <c r="G8" s="19">
        <f t="shared" si="2"/>
        <v>7.3510000000000047E-5</v>
      </c>
      <c r="H8" s="18">
        <f t="shared" si="3"/>
        <v>8.573797291748857E-3</v>
      </c>
      <c r="I8" s="18">
        <f t="shared" si="4"/>
        <v>1.680464269182776E-2</v>
      </c>
      <c r="J8" s="20">
        <f t="shared" si="5"/>
        <v>96.427751480382057</v>
      </c>
      <c r="K8" s="20">
        <f t="shared" si="6"/>
        <v>99.725339939622515</v>
      </c>
      <c r="L8" s="20">
        <f t="shared" si="7"/>
        <v>3.2975884592404583</v>
      </c>
    </row>
    <row r="9" spans="1:12" ht="25.5" customHeight="1" x14ac:dyDescent="0.25">
      <c r="A9" s="13" t="s">
        <v>22</v>
      </c>
      <c r="B9" s="27">
        <f>B8/(2*B7)</f>
        <v>9.6039999999999997E-3</v>
      </c>
      <c r="C9" s="28" t="s">
        <v>23</v>
      </c>
      <c r="D9" s="29">
        <v>199</v>
      </c>
      <c r="E9" s="30">
        <f t="shared" si="0"/>
        <v>0.995</v>
      </c>
      <c r="F9" s="31">
        <f t="shared" si="1"/>
        <v>1.0046040000000001</v>
      </c>
      <c r="G9" s="32">
        <f t="shared" si="2"/>
        <v>4.8885000000000017E-5</v>
      </c>
      <c r="H9" s="31">
        <f t="shared" si="3"/>
        <v>6.9917808890153314E-3</v>
      </c>
      <c r="I9" s="31">
        <f t="shared" si="4"/>
        <v>1.370389054247005E-2</v>
      </c>
      <c r="J9" s="33">
        <f t="shared" si="5"/>
        <v>97.222560013022871</v>
      </c>
      <c r="K9" s="33">
        <f t="shared" si="6"/>
        <v>99.911685401063394</v>
      </c>
      <c r="L9" s="34">
        <f t="shared" si="7"/>
        <v>2.689125388040523</v>
      </c>
    </row>
    <row r="10" spans="1:12" ht="19.5" customHeight="1" x14ac:dyDescent="0.25">
      <c r="A10" s="13" t="s">
        <v>24</v>
      </c>
      <c r="B10" s="27">
        <f>B8/B7</f>
        <v>1.9207999999999999E-2</v>
      </c>
      <c r="C10" s="15" t="s">
        <v>25</v>
      </c>
      <c r="D10" s="16">
        <v>170</v>
      </c>
      <c r="E10" s="17">
        <f t="shared" si="0"/>
        <v>0.85</v>
      </c>
      <c r="F10" s="18">
        <f t="shared" si="1"/>
        <v>0.85960399999999992</v>
      </c>
      <c r="G10" s="19">
        <f t="shared" si="2"/>
        <v>6.6151000000000003E-4</v>
      </c>
      <c r="H10" s="18">
        <f t="shared" si="3"/>
        <v>2.5719836702436508E-2</v>
      </c>
      <c r="I10" s="18">
        <f t="shared" si="4"/>
        <v>5.0410879936775552E-2</v>
      </c>
      <c r="J10" s="20">
        <f t="shared" si="5"/>
        <v>79.394306173344845</v>
      </c>
      <c r="K10" s="20">
        <f t="shared" si="6"/>
        <v>89.2864734123727</v>
      </c>
      <c r="L10" s="20">
        <f t="shared" si="7"/>
        <v>9.8921672390278559</v>
      </c>
    </row>
    <row r="11" spans="1:12" ht="19.5" customHeight="1" x14ac:dyDescent="0.25">
      <c r="A11" s="13" t="s">
        <v>26</v>
      </c>
      <c r="B11" s="35">
        <f>B8/(4*B7^2)</f>
        <v>2.4009999999999999E-5</v>
      </c>
      <c r="C11" s="21" t="s">
        <v>27</v>
      </c>
      <c r="D11" s="16">
        <v>195</v>
      </c>
      <c r="E11" s="22">
        <f t="shared" si="0"/>
        <v>0.97499999999999998</v>
      </c>
      <c r="F11" s="23">
        <f t="shared" si="1"/>
        <v>0.98460399999999992</v>
      </c>
      <c r="G11" s="24">
        <f t="shared" si="2"/>
        <v>1.4588500000000011E-4</v>
      </c>
      <c r="H11" s="23">
        <f t="shared" si="3"/>
        <v>1.2078286302286434E-2</v>
      </c>
      <c r="I11" s="23">
        <f t="shared" si="4"/>
        <v>2.3673441152481409E-2</v>
      </c>
      <c r="J11" s="25">
        <f t="shared" si="5"/>
        <v>94.282085584838299</v>
      </c>
      <c r="K11" s="25">
        <f t="shared" si="6"/>
        <v>98.927543852921232</v>
      </c>
      <c r="L11" s="25">
        <f t="shared" si="7"/>
        <v>4.6454582680829333</v>
      </c>
    </row>
    <row r="12" spans="1:12" ht="19.5" customHeight="1" x14ac:dyDescent="0.25">
      <c r="A12" s="13" t="s">
        <v>28</v>
      </c>
      <c r="B12" s="27">
        <f>1+B10</f>
        <v>1.0192079999999999</v>
      </c>
    </row>
    <row r="13" spans="1:12" ht="9.75" customHeight="1" x14ac:dyDescent="0.25"/>
    <row r="14" spans="1:12" ht="21.75" customHeight="1" x14ac:dyDescent="0.25">
      <c r="A14" s="8" t="s">
        <v>29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ht="19.5" customHeight="1" x14ac:dyDescent="0.25">
      <c r="A15" s="11" t="s">
        <v>30</v>
      </c>
      <c r="B15" s="11" t="s">
        <v>31</v>
      </c>
      <c r="C15" s="11" t="s">
        <v>32</v>
      </c>
      <c r="D15" s="11" t="s">
        <v>33</v>
      </c>
      <c r="E15" s="11" t="s">
        <v>34</v>
      </c>
      <c r="F15" s="11" t="s">
        <v>35</v>
      </c>
      <c r="G15" s="11" t="s">
        <v>36</v>
      </c>
      <c r="H15" s="7" t="s">
        <v>37</v>
      </c>
      <c r="I15" s="7"/>
      <c r="J15" s="7"/>
      <c r="K15" s="7"/>
      <c r="L15" s="7"/>
    </row>
    <row r="16" spans="1:12" ht="21.75" customHeight="1" x14ac:dyDescent="0.25">
      <c r="A16" s="36" t="s">
        <v>38</v>
      </c>
      <c r="B16" s="17">
        <f t="shared" ref="B16:B21" si="8">E6</f>
        <v>0.46</v>
      </c>
      <c r="C16" s="37" t="str">
        <f t="shared" ref="C16:E21" si="9">J6&amp;"%"</f>
        <v>39.2329311409613%</v>
      </c>
      <c r="D16" s="37" t="str">
        <f t="shared" si="9"/>
        <v>52.9178369063853%</v>
      </c>
      <c r="E16" s="37" t="str">
        <f t="shared" si="9"/>
        <v>13.6849057654241%</v>
      </c>
      <c r="F16" s="38" t="s">
        <v>39</v>
      </c>
      <c r="G16" s="39" t="s">
        <v>39</v>
      </c>
      <c r="H16" s="6" t="s">
        <v>40</v>
      </c>
      <c r="I16" s="6"/>
      <c r="J16" s="6"/>
      <c r="K16" s="6"/>
      <c r="L16" s="6"/>
    </row>
    <row r="17" spans="1:12" ht="21.75" customHeight="1" x14ac:dyDescent="0.25">
      <c r="A17" s="40" t="s">
        <v>41</v>
      </c>
      <c r="B17" s="22">
        <f t="shared" si="8"/>
        <v>0.98</v>
      </c>
      <c r="C17" s="41" t="str">
        <f t="shared" si="9"/>
        <v>94.9712134494806%</v>
      </c>
      <c r="D17" s="41" t="str">
        <f t="shared" si="9"/>
        <v>99.2195699823606%</v>
      </c>
      <c r="E17" s="41" t="str">
        <f t="shared" si="9"/>
        <v>4.24835653287997%</v>
      </c>
      <c r="F17" s="42" t="s">
        <v>42</v>
      </c>
      <c r="G17" s="43" t="s">
        <v>43</v>
      </c>
      <c r="H17" s="5" t="s">
        <v>44</v>
      </c>
      <c r="I17" s="5"/>
      <c r="J17" s="5"/>
      <c r="K17" s="5"/>
      <c r="L17" s="5"/>
    </row>
    <row r="18" spans="1:12" ht="21.75" customHeight="1" x14ac:dyDescent="0.25">
      <c r="A18" s="36" t="s">
        <v>45</v>
      </c>
      <c r="B18" s="17">
        <f t="shared" si="8"/>
        <v>0.99</v>
      </c>
      <c r="C18" s="37" t="str">
        <f t="shared" si="9"/>
        <v>96.4277514803821%</v>
      </c>
      <c r="D18" s="37" t="str">
        <f t="shared" si="9"/>
        <v>99.7253399396225%</v>
      </c>
      <c r="E18" s="37" t="str">
        <f t="shared" si="9"/>
        <v>3.29758845924046%</v>
      </c>
      <c r="F18" s="44" t="s">
        <v>46</v>
      </c>
      <c r="G18" s="43" t="s">
        <v>43</v>
      </c>
      <c r="H18" s="6" t="s">
        <v>47</v>
      </c>
      <c r="I18" s="6"/>
      <c r="J18" s="6"/>
      <c r="K18" s="6"/>
      <c r="L18" s="6"/>
    </row>
    <row r="19" spans="1:12" ht="21.75" customHeight="1" x14ac:dyDescent="0.25">
      <c r="A19" s="45" t="s">
        <v>48</v>
      </c>
      <c r="B19" s="30">
        <f t="shared" si="8"/>
        <v>0.995</v>
      </c>
      <c r="C19" s="46" t="str">
        <f t="shared" si="9"/>
        <v>97.2225600130229%</v>
      </c>
      <c r="D19" s="46" t="str">
        <f t="shared" si="9"/>
        <v>99.9116854010634%</v>
      </c>
      <c r="E19" s="46" t="str">
        <f t="shared" si="9"/>
        <v>2.68912538804052%</v>
      </c>
      <c r="F19" s="47" t="s">
        <v>46</v>
      </c>
      <c r="G19" s="48" t="s">
        <v>49</v>
      </c>
      <c r="H19" s="4" t="s">
        <v>50</v>
      </c>
      <c r="I19" s="4"/>
      <c r="J19" s="4"/>
      <c r="K19" s="4"/>
      <c r="L19" s="4"/>
    </row>
    <row r="20" spans="1:12" ht="21.75" customHeight="1" x14ac:dyDescent="0.25">
      <c r="A20" s="36" t="s">
        <v>51</v>
      </c>
      <c r="B20" s="17">
        <f t="shared" si="8"/>
        <v>0.85</v>
      </c>
      <c r="C20" s="37" t="str">
        <f t="shared" si="9"/>
        <v>79.3943061733448%</v>
      </c>
      <c r="D20" s="37" t="str">
        <f t="shared" si="9"/>
        <v>89.2864734123727%</v>
      </c>
      <c r="E20" s="37" t="str">
        <f t="shared" si="9"/>
        <v>9.89216723902786%</v>
      </c>
      <c r="F20" s="38" t="s">
        <v>39</v>
      </c>
      <c r="G20" s="43" t="s">
        <v>52</v>
      </c>
      <c r="H20" s="6" t="s">
        <v>53</v>
      </c>
      <c r="I20" s="6"/>
      <c r="J20" s="6"/>
      <c r="K20" s="6"/>
      <c r="L20" s="6"/>
    </row>
    <row r="21" spans="1:12" ht="21.75" customHeight="1" x14ac:dyDescent="0.25">
      <c r="A21" s="40" t="s">
        <v>54</v>
      </c>
      <c r="B21" s="22">
        <f t="shared" si="8"/>
        <v>0.97499999999999998</v>
      </c>
      <c r="C21" s="41" t="str">
        <f t="shared" si="9"/>
        <v>94.2820855848383%</v>
      </c>
      <c r="D21" s="41" t="str">
        <f t="shared" si="9"/>
        <v>98.9275438529212%</v>
      </c>
      <c r="E21" s="41" t="str">
        <f t="shared" si="9"/>
        <v>4.64545826808293%</v>
      </c>
      <c r="F21" s="49" t="s">
        <v>39</v>
      </c>
      <c r="G21" s="50" t="s">
        <v>55</v>
      </c>
      <c r="H21" s="5" t="s">
        <v>56</v>
      </c>
      <c r="I21" s="5"/>
      <c r="J21" s="5"/>
      <c r="K21" s="5"/>
      <c r="L21" s="5"/>
    </row>
    <row r="23" spans="1:12" ht="21.75" customHeight="1" x14ac:dyDescent="0.25">
      <c r="A23" s="3" t="s">
        <v>57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9.5" customHeight="1" x14ac:dyDescent="0.25">
      <c r="A24" s="51" t="s">
        <v>58</v>
      </c>
      <c r="B24" s="2" t="s">
        <v>59</v>
      </c>
      <c r="C24" s="2"/>
      <c r="D24" s="2"/>
      <c r="E24" s="2"/>
      <c r="F24" s="6" t="s">
        <v>60</v>
      </c>
      <c r="G24" s="6"/>
      <c r="H24" s="6"/>
      <c r="I24" s="6"/>
      <c r="J24" s="6"/>
      <c r="K24" s="6"/>
      <c r="L24" s="6"/>
    </row>
    <row r="25" spans="1:12" ht="19.5" customHeight="1" x14ac:dyDescent="0.25">
      <c r="A25" s="52" t="s">
        <v>61</v>
      </c>
      <c r="B25" s="1" t="s">
        <v>62</v>
      </c>
      <c r="C25" s="1"/>
      <c r="D25" s="1"/>
      <c r="E25" s="1"/>
      <c r="F25" s="5" t="s">
        <v>63</v>
      </c>
      <c r="G25" s="5"/>
      <c r="H25" s="5"/>
      <c r="I25" s="5"/>
      <c r="J25" s="5"/>
      <c r="K25" s="5"/>
      <c r="L25" s="5"/>
    </row>
    <row r="26" spans="1:12" ht="19.5" customHeight="1" x14ac:dyDescent="0.25">
      <c r="A26" s="51" t="s">
        <v>64</v>
      </c>
      <c r="B26" s="2" t="s">
        <v>65</v>
      </c>
      <c r="C26" s="2"/>
      <c r="D26" s="2"/>
      <c r="E26" s="2"/>
      <c r="F26" s="6" t="s">
        <v>66</v>
      </c>
      <c r="G26" s="6"/>
      <c r="H26" s="6"/>
      <c r="I26" s="6"/>
      <c r="J26" s="6"/>
      <c r="K26" s="6"/>
      <c r="L26" s="6"/>
    </row>
    <row r="27" spans="1:12" ht="19.5" customHeight="1" x14ac:dyDescent="0.25">
      <c r="A27" s="52" t="s">
        <v>32</v>
      </c>
      <c r="B27" s="1" t="s">
        <v>67</v>
      </c>
      <c r="C27" s="1"/>
      <c r="D27" s="1"/>
      <c r="E27" s="1"/>
      <c r="F27" s="5" t="s">
        <v>68</v>
      </c>
      <c r="G27" s="5"/>
      <c r="H27" s="5"/>
      <c r="I27" s="5"/>
      <c r="J27" s="5"/>
      <c r="K27" s="5"/>
      <c r="L27" s="5"/>
    </row>
    <row r="28" spans="1:12" ht="19.5" customHeight="1" x14ac:dyDescent="0.25">
      <c r="A28" s="51" t="s">
        <v>33</v>
      </c>
      <c r="B28" s="2" t="s">
        <v>69</v>
      </c>
      <c r="C28" s="2"/>
      <c r="D28" s="2"/>
      <c r="E28" s="2"/>
      <c r="F28" s="6" t="s">
        <v>70</v>
      </c>
      <c r="G28" s="6"/>
      <c r="H28" s="6"/>
      <c r="I28" s="6"/>
      <c r="J28" s="6"/>
      <c r="K28" s="6"/>
      <c r="L28" s="6"/>
    </row>
    <row r="29" spans="1:12" ht="19.5" customHeight="1" x14ac:dyDescent="0.25">
      <c r="A29" s="52" t="s">
        <v>71</v>
      </c>
      <c r="B29" s="1" t="s">
        <v>72</v>
      </c>
      <c r="C29" s="1"/>
      <c r="D29" s="1"/>
      <c r="E29" s="1"/>
      <c r="F29" s="5" t="s">
        <v>73</v>
      </c>
      <c r="G29" s="5"/>
      <c r="H29" s="5"/>
      <c r="I29" s="5"/>
      <c r="J29" s="5"/>
      <c r="K29" s="5"/>
      <c r="L29" s="5"/>
    </row>
  </sheetData>
  <mergeCells count="25">
    <mergeCell ref="B28:E28"/>
    <mergeCell ref="F28:L28"/>
    <mergeCell ref="B29:E29"/>
    <mergeCell ref="F29:L29"/>
    <mergeCell ref="B25:E25"/>
    <mergeCell ref="F25:L25"/>
    <mergeCell ref="B26:E26"/>
    <mergeCell ref="F26:L26"/>
    <mergeCell ref="B27:E27"/>
    <mergeCell ref="F27:L27"/>
    <mergeCell ref="H20:L20"/>
    <mergeCell ref="H21:L21"/>
    <mergeCell ref="A23:L23"/>
    <mergeCell ref="B24:E24"/>
    <mergeCell ref="F24:L24"/>
    <mergeCell ref="H15:L15"/>
    <mergeCell ref="H16:L16"/>
    <mergeCell ref="H17:L17"/>
    <mergeCell ref="H18:L18"/>
    <mergeCell ref="H19:L19"/>
    <mergeCell ref="A1:L1"/>
    <mergeCell ref="A2:L2"/>
    <mergeCell ref="A4:B4"/>
    <mergeCell ref="C4:L4"/>
    <mergeCell ref="A14:L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Wilson Score CI - HRR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Angga Pratama</cp:lastModifiedBy>
  <cp:revision>0</cp:revision>
  <dcterms:created xsi:type="dcterms:W3CDTF">2026-04-16T09:57:53Z</dcterms:created>
  <dcterms:modified xsi:type="dcterms:W3CDTF">2026-04-24T16:22:46Z</dcterms:modified>
  <dc:language>en-US</dc:language>
</cp:coreProperties>
</file>