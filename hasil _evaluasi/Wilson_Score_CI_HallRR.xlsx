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2. KANTOR\03. UI\04. SEMESTER 4\00. THESIS\02. CODE\02. dataset\EVALUASI\"/>
    </mc:Choice>
  </mc:AlternateContent>
  <xr:revisionPtr revIDLastSave="0" documentId="13_ncr:1_{CB2C2783-1398-4E79-97AB-7F64C976C36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Wilson Score CI - HallR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1" l="1"/>
  <c r="B21" i="1"/>
  <c r="F20" i="1"/>
  <c r="B20" i="1"/>
  <c r="F19" i="1"/>
  <c r="F17" i="1"/>
  <c r="B16" i="1"/>
  <c r="E11" i="1"/>
  <c r="E10" i="1"/>
  <c r="E9" i="1"/>
  <c r="B19" i="1" s="1"/>
  <c r="E8" i="1"/>
  <c r="B18" i="1" s="1"/>
  <c r="B8" i="1"/>
  <c r="B9" i="1" s="1"/>
  <c r="E7" i="1"/>
  <c r="B17" i="1" s="1"/>
  <c r="E6" i="1"/>
  <c r="F10" i="1" l="1"/>
  <c r="F11" i="1"/>
  <c r="G7" i="1"/>
  <c r="H7" i="1" s="1"/>
  <c r="I7" i="1" s="1"/>
  <c r="F8" i="1"/>
  <c r="B10" i="1"/>
  <c r="B12" i="1" s="1"/>
  <c r="G8" i="1"/>
  <c r="H8" i="1" s="1"/>
  <c r="I8" i="1" s="1"/>
  <c r="F9" i="1"/>
  <c r="B11" i="1"/>
  <c r="F18" i="1"/>
  <c r="F6" i="1"/>
  <c r="F7" i="1"/>
  <c r="F16" i="1"/>
  <c r="G9" i="1"/>
  <c r="H9" i="1" s="1"/>
  <c r="I9" i="1" s="1"/>
  <c r="K7" i="1" l="1"/>
  <c r="J7" i="1"/>
  <c r="C17" i="1" s="1"/>
  <c r="K8" i="1"/>
  <c r="J8" i="1"/>
  <c r="C18" i="1" s="1"/>
  <c r="K9" i="1"/>
  <c r="J9" i="1"/>
  <c r="C19" i="1" s="1"/>
  <c r="G11" i="1"/>
  <c r="H11" i="1" s="1"/>
  <c r="I11" i="1" s="1"/>
  <c r="K11" i="1" s="1"/>
  <c r="G10" i="1"/>
  <c r="H10" i="1" s="1"/>
  <c r="I10" i="1" s="1"/>
  <c r="K10" i="1" s="1"/>
  <c r="G6" i="1"/>
  <c r="H6" i="1" s="1"/>
  <c r="I6" i="1" s="1"/>
  <c r="K6" i="1" s="1"/>
  <c r="D20" i="1" l="1"/>
  <c r="D21" i="1"/>
  <c r="D16" i="1"/>
  <c r="D19" i="1"/>
  <c r="L9" i="1"/>
  <c r="E19" i="1" s="1"/>
  <c r="J10" i="1"/>
  <c r="C20" i="1" s="1"/>
  <c r="J11" i="1"/>
  <c r="C21" i="1" s="1"/>
  <c r="L8" i="1"/>
  <c r="E18" i="1" s="1"/>
  <c r="D18" i="1"/>
  <c r="J6" i="1"/>
  <c r="C16" i="1" s="1"/>
  <c r="D17" i="1"/>
  <c r="L7" i="1"/>
  <c r="E17" i="1" s="1"/>
  <c r="L11" i="1" l="1"/>
  <c r="E21" i="1" s="1"/>
  <c r="L6" i="1"/>
  <c r="E16" i="1" s="1"/>
  <c r="L10" i="1"/>
  <c r="E20" i="1" s="1"/>
</calcChain>
</file>

<file path=xl/sharedStrings.xml><?xml version="1.0" encoding="utf-8"?>
<sst xmlns="http://schemas.openxmlformats.org/spreadsheetml/2006/main" count="109" uniqueCount="100">
  <si>
    <t>WILSON SCORE CONFIDENCE INTERVALS — HALLUCINATION RESISTANCE RATE (HallRR)</t>
  </si>
  <si>
    <t>Metode: Wilson Score Interval  |  Tingkat Kepercayaan: 95%  |  Z = 1.96  |  n = 50 kueri per grup  |  Dataset: Unanswered Context</t>
  </si>
  <si>
    <t>⚠  CATATAN: n = 50 lebih kecil dari protokol HRR (n=200). Wilson Score dipilih karena Normal Approximation tidak valid saat p mendekati 1,00 (G3: np(1-p)=2,82 &lt; 10; G4: p=1,00 → SE=0, degenerate interval).</t>
  </si>
  <si>
    <t>▶  KONSTANTA INPUT</t>
  </si>
  <si>
    <t>▶  TABEL PERHITUNGAN WILSON SCORE CI — SELURUH GRUP PENGUJIAN HallRR</t>
  </si>
  <si>
    <t>Parameter</t>
  </si>
  <si>
    <t>Nilai</t>
  </si>
  <si>
    <t>Grup Pengujian</t>
  </si>
  <si>
    <t>x
(ditolak tepat)</t>
  </si>
  <si>
    <t>HallRR
p̂ (%)</t>
  </si>
  <si>
    <t>Numerator Pusat
(p̂ + Z²/2n)</t>
  </si>
  <si>
    <t>Isi Akar
[p̂(1-p̂)/n + Z²/4n²]</t>
  </si>
  <si>
    <t>√ Isi Akar</t>
  </si>
  <si>
    <t>Z × √ ...</t>
  </si>
  <si>
    <t>Lower
95% Wilson CI</t>
  </si>
  <si>
    <t>Upper
95% Wilson CI</t>
  </si>
  <si>
    <t>Width
CI (%)</t>
  </si>
  <si>
    <t>Z (confidence 95%)</t>
  </si>
  <si>
    <t>G1  —  Baseline Chatbot</t>
  </si>
  <si>
    <t>n (total kueri)</t>
  </si>
  <si>
    <t>G2  —  G1 + Input Guardrail</t>
  </si>
  <si>
    <t>Z²  =  Z × Z</t>
  </si>
  <si>
    <t>G3  —  G2 + Context Guardrail</t>
  </si>
  <si>
    <t>Z²/2n</t>
  </si>
  <si>
    <t>G4  —  G3 + Output Guardrail  ★
Proposed Architecture</t>
  </si>
  <si>
    <t>Z²/n</t>
  </si>
  <si>
    <t>G5  —  G1 + Llama Guard</t>
  </si>
  <si>
    <t>Z²/4n²</t>
  </si>
  <si>
    <t>G6  —  G1 + NeMo Guardrails</t>
  </si>
  <si>
    <t>Denominator  1 + Z²/n</t>
  </si>
  <si>
    <t>▶  RINGKASAN HASIL &amp; ANALISIS OVERLAP CI</t>
  </si>
  <si>
    <t>Grup</t>
  </si>
  <si>
    <t>HallRR (%)</t>
  </si>
  <si>
    <t>Lower 95% CI</t>
  </si>
  <si>
    <t>Upper 95% CI</t>
  </si>
  <si>
    <t>Width CI</t>
  </si>
  <si>
    <t>np(1-p)</t>
  </si>
  <si>
    <t>Validitas N.Approx</t>
  </si>
  <si>
    <t>Overlap (Ablasi)</t>
  </si>
  <si>
    <t>Overlap (Komparatif)</t>
  </si>
  <si>
    <t>Interpretasi Kunci</t>
  </si>
  <si>
    <t>G1 — Baseline</t>
  </si>
  <si>
    <t>✅ Valid</t>
  </si>
  <si>
    <t>—</t>
  </si>
  <si>
    <t>Identik G2; CI lebar (27,70%) mencerminkan n=50</t>
  </si>
  <si>
    <t>G2 — +Input Guardrail</t>
  </si>
  <si>
    <t>IDENTICAL</t>
  </si>
  <si>
    <t>vs G5: Sig.</t>
  </si>
  <si>
    <t>Input Guard tidak berkontribusi HallRR — sesuai desain arsitektur</t>
  </si>
  <si>
    <t>G3 — +Context Guardrail</t>
  </si>
  <si>
    <t>⚠ Violated</t>
  </si>
  <si>
    <t>NO OVERLAP</t>
  </si>
  <si>
    <t>Context Guard = kontribusi TERBESAR; NO OVERLAP vs G2</t>
  </si>
  <si>
    <t>G4 — Proposed Arch. ★</t>
  </si>
  <si>
    <t>⚠ p=1,00</t>
  </si>
  <si>
    <t>OVERLAP</t>
  </si>
  <si>
    <t>vs G5: Sig.; vs G6: Sig.</t>
  </si>
  <si>
    <t>Wilson CI [92,87%,100%] mengatasi degenerate Normal Approx</t>
  </si>
  <si>
    <t>G5 — Llama Guard</t>
  </si>
  <si>
    <t>Sig. &lt; G3,G4</t>
  </si>
  <si>
    <t>Signifikan di bawah G3 dan G4</t>
  </si>
  <si>
    <t>G6 — NeMo Guardrails</t>
  </si>
  <si>
    <t>Sig. &lt; G4</t>
  </si>
  <si>
    <t>NO OVERLAP vs G4; G4 unggul signifikan</t>
  </si>
  <si>
    <t>▶  TEMUAN KUNCI DARI ANALISIS WILSON SCORE HallRR</t>
  </si>
  <si>
    <t>1</t>
  </si>
  <si>
    <t>G1 = G2 (IDENTIK)</t>
  </si>
  <si>
    <t>Input Guardrail tidak berkontribusi terhadap HallRR — CI identik [38,15%, 65,85%]. Konsisten secara arsitektural: input guard dirancang untuk ancaman keamanan, bukan halusinasi.</t>
  </si>
  <si>
    <t>2</t>
  </si>
  <si>
    <t>G2 vs G3 — NO OVERLAP ✅</t>
  </si>
  <si>
    <t>Context Guardrail adalah KOMPONEN TERPENTING anti-halusinasi. Lompatan 52%→94% dengan NO OVERLAP membuktikan signifikansi statistik yang kuat dari relevance score filtering &amp; cross-encoder reranking.</t>
  </si>
  <si>
    <t>3</t>
  </si>
  <si>
    <t>G4 — p = 1,00 (Wilson Score Mengatasi Degenerate Interval)</t>
  </si>
  <si>
    <t>Normal Approx menghasilkan CI [100%,100%] yang tidak informatif. Wilson Score menghasilkan CI [92,87%,100%] yang bermakna karena komponen Z²/4n² tetap &gt; 0 meski p̂(1−p̂) = 0.</t>
  </si>
  <si>
    <t>4</t>
  </si>
  <si>
    <t>G4 vs G5 &amp; G6 — NO OVERLAP ✅</t>
  </si>
  <si>
    <t>Proposed Architecture signifikan mengungguli Llama Guard [36,14%,63,86%] dan NeMo Guardrails [81,68%,98,32%]. Kedua perbandingan menunjukkan NO OVERLAP yang tegas.</t>
  </si>
  <si>
    <t>5</t>
  </si>
  <si>
    <t>CI Lebar (n=50)</t>
  </si>
  <si>
    <t>Width CI G1/G2/G5 mencapai ~27,70% — jauh lebih lebar dari HRR (n=200). Ini bukan kelemahan, melainkan sinyal statistik jujur bahwa n=50 menghasilkan presisi lebih rendah. Penambahan n disarankan pada penelitian lanjutan.</t>
  </si>
  <si>
    <t>▶  RUMUS WILSON SCORE CI  &amp;  REFERENSI</t>
  </si>
  <si>
    <t>HallRR (p̂)</t>
  </si>
  <si>
    <t>p̂ = x ÷ n</t>
  </si>
  <si>
    <t>x = respons penolakan tepat; n = 50 kueri unanswered context</t>
  </si>
  <si>
    <t>Numerator Pusat</t>
  </si>
  <si>
    <t>p̂ + Z²/2n</t>
  </si>
  <si>
    <t>Titik tengah Wilson — digeser menuju 0,5 (tidak kolaps di boundary)</t>
  </si>
  <si>
    <t>Isi Akar</t>
  </si>
  <si>
    <t>p̂(1−p̂)/n + Z²/4n²</t>
  </si>
  <si>
    <t>Tetap &gt; 0 meski p̂ = 1 → menghasilkan interval bermakna [92,87%,100%]</t>
  </si>
  <si>
    <t>(p̂+Z²/2n − Z√[...]) ÷ (1+Z²/n)</t>
  </si>
  <si>
    <t>Batas bawah; selalu ≥ 0 tanpa kliping buatan</t>
  </si>
  <si>
    <t>(p̂+Z²/2n + Z√[...]) ÷ (1+Z²/n)</t>
  </si>
  <si>
    <t>Batas atas; selalu ≤ 1 tanpa kliping buatan</t>
  </si>
  <si>
    <t>Referensi Statistik</t>
  </si>
  <si>
    <t>Wilson (1927); Brown, Cai &amp; DasGupta (2001) Stat. Sci. 16(2):101-133</t>
  </si>
  <si>
    <t>Rekomendasi untuk small n dan p ekstrem</t>
  </si>
  <si>
    <t>Referensi AI/LLM</t>
  </si>
  <si>
    <t>Miller et al. (2025) ICLR arXiv:2503.01747</t>
  </si>
  <si>
    <t>Don't Use the CLT in LLM Evals — Wilson Score direkomendasikan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</si>
</sst>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000000"/>
    <numFmt numFmtId="167" formatCode="0.0000"/>
  </numFmts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8B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00008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6400"/>
      <name val="Arial"/>
      <family val="2"/>
    </font>
    <font>
      <b/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9"/>
      <color rgb="FF8B0000"/>
      <name val="Arial"/>
      <family val="2"/>
    </font>
    <font>
      <b/>
      <sz val="12"/>
      <color rgb="FFFFFFFF"/>
      <name val="Arial"/>
      <family val="2"/>
    </font>
    <font>
      <b/>
      <sz val="10"/>
      <color rgb="FF1F3864"/>
      <name val="Arial"/>
      <family val="2"/>
    </font>
    <font>
      <b/>
      <sz val="9"/>
      <color rgb="FF00008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2F5496"/>
      </patternFill>
    </fill>
    <fill>
      <patternFill patternType="solid">
        <fgColor rgb="FFFFF2CC"/>
        <bgColor rgb="FFFCE4D6"/>
      </patternFill>
    </fill>
    <fill>
      <patternFill patternType="solid">
        <fgColor rgb="FF2F5496"/>
        <bgColor rgb="FF2E75B6"/>
      </patternFill>
    </fill>
    <fill>
      <patternFill patternType="solid">
        <fgColor rgb="FFEBF3FB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D6DCE4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FCE4D6"/>
        <bgColor rgb="FFFFF2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7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1" fontId="8" fillId="4" borderId="1" xfId="0" applyNumberFormat="1" applyFont="1" applyFill="1" applyBorder="1" applyAlignment="1">
      <alignment horizontal="center" vertical="center"/>
    </xf>
    <xf numFmtId="10" fontId="9" fillId="6" borderId="1" xfId="0" applyNumberFormat="1" applyFont="1" applyFill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center" vertical="center"/>
    </xf>
    <xf numFmtId="166" fontId="9" fillId="6" borderId="1" xfId="0" applyNumberFormat="1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10" fontId="9" fillId="7" borderId="1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166" fontId="9" fillId="7" borderId="1" xfId="0" applyNumberFormat="1" applyFont="1" applyFill="1" applyBorder="1" applyAlignment="1">
      <alignment horizontal="center" vertical="center"/>
    </xf>
    <xf numFmtId="2" fontId="9" fillId="7" borderId="1" xfId="0" applyNumberFormat="1" applyFont="1" applyFill="1" applyBorder="1" applyAlignment="1">
      <alignment horizontal="center" vertical="center"/>
    </xf>
    <xf numFmtId="167" fontId="8" fillId="4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 wrapText="1"/>
    </xf>
    <xf numFmtId="1" fontId="8" fillId="4" borderId="3" xfId="0" applyNumberFormat="1" applyFont="1" applyFill="1" applyBorder="1" applyAlignment="1">
      <alignment horizontal="center" vertical="center"/>
    </xf>
    <xf numFmtId="10" fontId="10" fillId="8" borderId="3" xfId="0" applyNumberFormat="1" applyFont="1" applyFill="1" applyBorder="1" applyAlignment="1">
      <alignment horizontal="center" vertical="center"/>
    </xf>
    <xf numFmtId="165" fontId="9" fillId="8" borderId="3" xfId="0" applyNumberFormat="1" applyFont="1" applyFill="1" applyBorder="1" applyAlignment="1">
      <alignment horizontal="center" vertical="center"/>
    </xf>
    <xf numFmtId="166" fontId="9" fillId="8" borderId="3" xfId="0" applyNumberFormat="1" applyFont="1" applyFill="1" applyBorder="1" applyAlignment="1">
      <alignment horizontal="center" vertical="center"/>
    </xf>
    <xf numFmtId="2" fontId="10" fillId="8" borderId="3" xfId="0" applyNumberFormat="1" applyFont="1" applyFill="1" applyBorder="1" applyAlignment="1">
      <alignment horizontal="center" vertical="center"/>
    </xf>
    <xf numFmtId="2" fontId="9" fillId="8" borderId="4" xfId="0" applyNumberFormat="1" applyFont="1" applyFill="1" applyBorder="1" applyAlignment="1">
      <alignment horizontal="center" vertical="center"/>
    </xf>
    <xf numFmtId="166" fontId="8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0" fontId="9" fillId="8" borderId="3" xfId="0" applyFont="1" applyFill="1" applyBorder="1" applyAlignment="1">
      <alignment horizontal="center" vertical="center"/>
    </xf>
    <xf numFmtId="2" fontId="9" fillId="8" borderId="3" xfId="0" applyNumberFormat="1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showGridLines="0" tabSelected="1" zoomScaleNormal="100" workbookViewId="0">
      <pane xSplit="2" ySplit="5" topLeftCell="C24" activePane="bottomRight" state="frozen"/>
      <selection pane="topRight" activeCell="C1" sqref="C1"/>
      <selection pane="bottomLeft" activeCell="A6" sqref="A6"/>
      <selection pane="bottomRight" activeCell="D28" sqref="D28:L28"/>
    </sheetView>
  </sheetViews>
  <sheetFormatPr defaultColWidth="8.7109375" defaultRowHeight="15" x14ac:dyDescent="0.25"/>
  <cols>
    <col min="1" max="1" width="30" customWidth="1"/>
    <col min="2" max="2" width="12" customWidth="1"/>
    <col min="3" max="3" width="31" bestFit="1" customWidth="1"/>
    <col min="4" max="4" width="18.5703125" bestFit="1" customWidth="1"/>
    <col min="5" max="5" width="22" customWidth="1"/>
    <col min="6" max="7" width="13" customWidth="1"/>
    <col min="8" max="9" width="17" customWidth="1"/>
    <col min="10" max="10" width="12" customWidth="1"/>
    <col min="11" max="11" width="18" customWidth="1"/>
    <col min="12" max="12" width="30" customWidth="1"/>
  </cols>
  <sheetData>
    <row r="1" spans="1:12" ht="33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9.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21.75" customHeight="1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21.75" customHeight="1" x14ac:dyDescent="0.25">
      <c r="A4" s="11" t="s">
        <v>3</v>
      </c>
      <c r="B4" s="11"/>
      <c r="C4" s="11" t="s">
        <v>4</v>
      </c>
      <c r="D4" s="11"/>
      <c r="E4" s="11"/>
      <c r="F4" s="11"/>
      <c r="G4" s="11"/>
      <c r="H4" s="11"/>
      <c r="I4" s="11"/>
      <c r="J4" s="11"/>
      <c r="K4" s="11"/>
      <c r="L4" s="11"/>
    </row>
    <row r="5" spans="1:12" ht="49.5" customHeight="1" x14ac:dyDescent="0.25">
      <c r="A5" s="15" t="s">
        <v>5</v>
      </c>
      <c r="B5" s="15" t="s">
        <v>6</v>
      </c>
      <c r="C5" s="16" t="s">
        <v>7</v>
      </c>
      <c r="D5" s="16" t="s">
        <v>8</v>
      </c>
      <c r="E5" s="16" t="s">
        <v>9</v>
      </c>
      <c r="F5" s="16" t="s">
        <v>10</v>
      </c>
      <c r="G5" s="16" t="s">
        <v>11</v>
      </c>
      <c r="H5" s="16" t="s">
        <v>12</v>
      </c>
      <c r="I5" s="16" t="s">
        <v>13</v>
      </c>
      <c r="J5" s="16" t="s">
        <v>14</v>
      </c>
      <c r="K5" s="16" t="s">
        <v>15</v>
      </c>
      <c r="L5" s="16" t="s">
        <v>16</v>
      </c>
    </row>
    <row r="6" spans="1:12" ht="21.75" customHeight="1" x14ac:dyDescent="0.25">
      <c r="A6" s="17" t="s">
        <v>17</v>
      </c>
      <c r="B6" s="18">
        <v>1.96</v>
      </c>
      <c r="C6" s="19" t="s">
        <v>18</v>
      </c>
      <c r="D6" s="20">
        <v>26</v>
      </c>
      <c r="E6" s="21">
        <f t="shared" ref="E6:E11" si="0">D6/B$7</f>
        <v>0.52</v>
      </c>
      <c r="F6" s="22">
        <f t="shared" ref="F6:F11" si="1">E6+B$9</f>
        <v>0.55841600000000002</v>
      </c>
      <c r="G6" s="23">
        <f t="shared" ref="G6:G11" si="2">E6*(1-E6)/B$7+B$11</f>
        <v>5.3761599999999996E-3</v>
      </c>
      <c r="H6" s="22">
        <f t="shared" ref="H6:H11" si="3">SQRT(G6)</f>
        <v>7.3322302200626507E-2</v>
      </c>
      <c r="I6" s="22">
        <f t="shared" ref="I6:I11" si="4">B$6*H6</f>
        <v>0.14371171231322796</v>
      </c>
      <c r="J6" s="24">
        <f t="shared" ref="J6:J11" si="5">(F6-I6)/B$12*100</f>
        <v>38.51151225880843</v>
      </c>
      <c r="K6" s="24">
        <f t="shared" ref="K6:K11" si="6">(F6+I6)/B$12*100</f>
        <v>65.203087604494286</v>
      </c>
      <c r="L6" s="24">
        <f t="shared" ref="L6:L11" si="7">K6-J6</f>
        <v>26.691575345685855</v>
      </c>
    </row>
    <row r="7" spans="1:12" ht="21.75" customHeight="1" x14ac:dyDescent="0.25">
      <c r="A7" s="17" t="s">
        <v>19</v>
      </c>
      <c r="B7" s="20">
        <v>50</v>
      </c>
      <c r="C7" s="25" t="s">
        <v>20</v>
      </c>
      <c r="D7" s="20">
        <v>26</v>
      </c>
      <c r="E7" s="26">
        <f t="shared" si="0"/>
        <v>0.52</v>
      </c>
      <c r="F7" s="27">
        <f t="shared" si="1"/>
        <v>0.55841600000000002</v>
      </c>
      <c r="G7" s="28">
        <f t="shared" si="2"/>
        <v>5.3761599999999996E-3</v>
      </c>
      <c r="H7" s="27">
        <f t="shared" si="3"/>
        <v>7.3322302200626507E-2</v>
      </c>
      <c r="I7" s="27">
        <f t="shared" si="4"/>
        <v>0.14371171231322796</v>
      </c>
      <c r="J7" s="29">
        <f t="shared" si="5"/>
        <v>38.51151225880843</v>
      </c>
      <c r="K7" s="29">
        <f t="shared" si="6"/>
        <v>65.203087604494286</v>
      </c>
      <c r="L7" s="29">
        <f t="shared" si="7"/>
        <v>26.691575345685855</v>
      </c>
    </row>
    <row r="8" spans="1:12" ht="21.75" customHeight="1" x14ac:dyDescent="0.25">
      <c r="A8" s="17" t="s">
        <v>21</v>
      </c>
      <c r="B8" s="30">
        <f>B6^2</f>
        <v>3.8415999999999997</v>
      </c>
      <c r="C8" s="19" t="s">
        <v>22</v>
      </c>
      <c r="D8" s="20">
        <v>47</v>
      </c>
      <c r="E8" s="21">
        <f t="shared" si="0"/>
        <v>0.94</v>
      </c>
      <c r="F8" s="22">
        <f t="shared" si="1"/>
        <v>0.97841599999999995</v>
      </c>
      <c r="G8" s="23">
        <f t="shared" si="2"/>
        <v>1.5121600000000009E-3</v>
      </c>
      <c r="H8" s="22">
        <f t="shared" si="3"/>
        <v>3.8886501514021558E-2</v>
      </c>
      <c r="I8" s="22">
        <f t="shared" si="4"/>
        <v>7.6217542967482246E-2</v>
      </c>
      <c r="J8" s="24">
        <f t="shared" si="5"/>
        <v>83.782656629122982</v>
      </c>
      <c r="K8" s="24">
        <f t="shared" si="6"/>
        <v>97.938540363536958</v>
      </c>
      <c r="L8" s="24">
        <f t="shared" si="7"/>
        <v>14.155883734413976</v>
      </c>
    </row>
    <row r="9" spans="1:12" ht="27.75" customHeight="1" x14ac:dyDescent="0.25">
      <c r="A9" s="17" t="s">
        <v>23</v>
      </c>
      <c r="B9" s="31">
        <f>B8/(2*B7)</f>
        <v>3.8415999999999999E-2</v>
      </c>
      <c r="C9" s="32" t="s">
        <v>24</v>
      </c>
      <c r="D9" s="33">
        <v>50</v>
      </c>
      <c r="E9" s="34">
        <f t="shared" si="0"/>
        <v>1</v>
      </c>
      <c r="F9" s="35">
        <f t="shared" si="1"/>
        <v>1.038416</v>
      </c>
      <c r="G9" s="36">
        <f t="shared" si="2"/>
        <v>3.8415999999999998E-4</v>
      </c>
      <c r="H9" s="35">
        <f t="shared" si="3"/>
        <v>1.9599999999999999E-2</v>
      </c>
      <c r="I9" s="35">
        <f t="shared" si="4"/>
        <v>3.8415999999999999E-2</v>
      </c>
      <c r="J9" s="37">
        <f t="shared" si="5"/>
        <v>92.864996582568125</v>
      </c>
      <c r="K9" s="37">
        <f t="shared" si="6"/>
        <v>100</v>
      </c>
      <c r="L9" s="38">
        <f t="shared" si="7"/>
        <v>7.1350034174318751</v>
      </c>
    </row>
    <row r="10" spans="1:12" ht="21.75" customHeight="1" x14ac:dyDescent="0.25">
      <c r="A10" s="17" t="s">
        <v>25</v>
      </c>
      <c r="B10" s="31">
        <f>B8/B7</f>
        <v>7.6831999999999998E-2</v>
      </c>
      <c r="C10" s="19" t="s">
        <v>26</v>
      </c>
      <c r="D10" s="20">
        <v>25</v>
      </c>
      <c r="E10" s="21">
        <f t="shared" si="0"/>
        <v>0.5</v>
      </c>
      <c r="F10" s="22">
        <f t="shared" si="1"/>
        <v>0.53841600000000001</v>
      </c>
      <c r="G10" s="23">
        <f t="shared" si="2"/>
        <v>5.3841599999999998E-3</v>
      </c>
      <c r="H10" s="22">
        <f t="shared" si="3"/>
        <v>7.3376835581810143E-2</v>
      </c>
      <c r="I10" s="22">
        <f t="shared" si="4"/>
        <v>0.14381859774034789</v>
      </c>
      <c r="J10" s="24">
        <f t="shared" si="5"/>
        <v>36.644286412332853</v>
      </c>
      <c r="K10" s="24">
        <f t="shared" si="6"/>
        <v>63.355713587667154</v>
      </c>
      <c r="L10" s="24">
        <f t="shared" si="7"/>
        <v>26.7114271753343</v>
      </c>
    </row>
    <row r="11" spans="1:12" ht="21.75" customHeight="1" x14ac:dyDescent="0.25">
      <c r="A11" s="17" t="s">
        <v>27</v>
      </c>
      <c r="B11" s="39">
        <f>B8/(4*B7^2)</f>
        <v>3.8415999999999998E-4</v>
      </c>
      <c r="C11" s="25" t="s">
        <v>28</v>
      </c>
      <c r="D11" s="20">
        <v>45</v>
      </c>
      <c r="E11" s="26">
        <f t="shared" si="0"/>
        <v>0.9</v>
      </c>
      <c r="F11" s="27">
        <f t="shared" si="1"/>
        <v>0.93841600000000003</v>
      </c>
      <c r="G11" s="28">
        <f t="shared" si="2"/>
        <v>2.1841599999999997E-3</v>
      </c>
      <c r="H11" s="27">
        <f t="shared" si="3"/>
        <v>4.6734997592810461E-2</v>
      </c>
      <c r="I11" s="27">
        <f t="shared" si="4"/>
        <v>9.1600595281908503E-2</v>
      </c>
      <c r="J11" s="29">
        <f t="shared" si="5"/>
        <v>78.639509665211619</v>
      </c>
      <c r="K11" s="29">
        <f t="shared" si="6"/>
        <v>95.652487600842889</v>
      </c>
      <c r="L11" s="29">
        <f t="shared" si="7"/>
        <v>17.01297793563127</v>
      </c>
    </row>
    <row r="12" spans="1:12" ht="21.75" customHeight="1" x14ac:dyDescent="0.25">
      <c r="A12" s="17" t="s">
        <v>29</v>
      </c>
      <c r="B12" s="31">
        <f>1+B10</f>
        <v>1.076832</v>
      </c>
    </row>
    <row r="13" spans="1:12" ht="9.75" customHeight="1" x14ac:dyDescent="0.25"/>
    <row r="14" spans="1:12" ht="21.75" customHeight="1" x14ac:dyDescent="0.25">
      <c r="A14" s="11" t="s">
        <v>30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ht="31.5" customHeight="1" x14ac:dyDescent="0.25">
      <c r="A15" s="40" t="s">
        <v>31</v>
      </c>
      <c r="B15" s="40" t="s">
        <v>32</v>
      </c>
      <c r="C15" s="40" t="s">
        <v>33</v>
      </c>
      <c r="D15" s="40" t="s">
        <v>34</v>
      </c>
      <c r="E15" s="40" t="s">
        <v>35</v>
      </c>
      <c r="F15" s="40" t="s">
        <v>36</v>
      </c>
      <c r="G15" s="40" t="s">
        <v>37</v>
      </c>
      <c r="H15" s="40" t="s">
        <v>38</v>
      </c>
      <c r="I15" s="40" t="s">
        <v>39</v>
      </c>
      <c r="J15" s="10" t="s">
        <v>40</v>
      </c>
      <c r="K15" s="10"/>
      <c r="L15" s="10"/>
    </row>
    <row r="16" spans="1:12" ht="24" customHeight="1" x14ac:dyDescent="0.25">
      <c r="A16" s="41" t="s">
        <v>41</v>
      </c>
      <c r="B16" s="21">
        <f t="shared" ref="B16:B21" si="8">E6</f>
        <v>0.52</v>
      </c>
      <c r="C16" s="42" t="str">
        <f t="shared" ref="C16:E21" si="9">J6&amp;"%"</f>
        <v>38.5115122588084%</v>
      </c>
      <c r="D16" s="42" t="str">
        <f t="shared" si="9"/>
        <v>65.2030876044943%</v>
      </c>
      <c r="E16" s="42" t="str">
        <f t="shared" si="9"/>
        <v>26.6915753456859%</v>
      </c>
      <c r="F16" s="24">
        <f t="shared" ref="F16:F21" si="10">50*E6*(1-E6)</f>
        <v>12.48</v>
      </c>
      <c r="G16" s="43" t="s">
        <v>42</v>
      </c>
      <c r="H16" s="44" t="s">
        <v>43</v>
      </c>
      <c r="I16" s="45" t="s">
        <v>43</v>
      </c>
      <c r="J16" s="9" t="s">
        <v>44</v>
      </c>
      <c r="K16" s="9"/>
      <c r="L16" s="9"/>
    </row>
    <row r="17" spans="1:12" ht="24" customHeight="1" x14ac:dyDescent="0.25">
      <c r="A17" s="46" t="s">
        <v>45</v>
      </c>
      <c r="B17" s="26">
        <f t="shared" si="8"/>
        <v>0.52</v>
      </c>
      <c r="C17" s="47" t="str">
        <f t="shared" si="9"/>
        <v>38.5115122588084%</v>
      </c>
      <c r="D17" s="47" t="str">
        <f t="shared" si="9"/>
        <v>65.2030876044943%</v>
      </c>
      <c r="E17" s="47" t="str">
        <f t="shared" si="9"/>
        <v>26.6915753456859%</v>
      </c>
      <c r="F17" s="29">
        <f t="shared" si="10"/>
        <v>12.48</v>
      </c>
      <c r="G17" s="43" t="s">
        <v>42</v>
      </c>
      <c r="H17" s="43" t="s">
        <v>46</v>
      </c>
      <c r="I17" s="48" t="s">
        <v>47</v>
      </c>
      <c r="J17" s="8" t="s">
        <v>48</v>
      </c>
      <c r="K17" s="8"/>
      <c r="L17" s="8"/>
    </row>
    <row r="18" spans="1:12" ht="24" customHeight="1" x14ac:dyDescent="0.25">
      <c r="A18" s="41" t="s">
        <v>49</v>
      </c>
      <c r="B18" s="21">
        <f t="shared" si="8"/>
        <v>0.94</v>
      </c>
      <c r="C18" s="42" t="str">
        <f t="shared" si="9"/>
        <v>83.782656629123%</v>
      </c>
      <c r="D18" s="42" t="str">
        <f t="shared" si="9"/>
        <v>97.938540363537%</v>
      </c>
      <c r="E18" s="42" t="str">
        <f t="shared" si="9"/>
        <v>14.155883734414%</v>
      </c>
      <c r="F18" s="24">
        <f t="shared" si="10"/>
        <v>2.8200000000000025</v>
      </c>
      <c r="G18" s="49" t="s">
        <v>50</v>
      </c>
      <c r="H18" s="43" t="s">
        <v>51</v>
      </c>
      <c r="I18" s="48" t="s">
        <v>47</v>
      </c>
      <c r="J18" s="9" t="s">
        <v>52</v>
      </c>
      <c r="K18" s="9"/>
      <c r="L18" s="9"/>
    </row>
    <row r="19" spans="1:12" ht="24" customHeight="1" x14ac:dyDescent="0.25">
      <c r="A19" s="50" t="s">
        <v>53</v>
      </c>
      <c r="B19" s="34">
        <f t="shared" si="8"/>
        <v>1</v>
      </c>
      <c r="C19" s="51" t="str">
        <f t="shared" si="9"/>
        <v>92.8649965825681%</v>
      </c>
      <c r="D19" s="51" t="str">
        <f t="shared" si="9"/>
        <v>100%</v>
      </c>
      <c r="E19" s="51" t="str">
        <f t="shared" si="9"/>
        <v>7.13500341743188%</v>
      </c>
      <c r="F19" s="52">
        <f t="shared" si="10"/>
        <v>0</v>
      </c>
      <c r="G19" s="53" t="s">
        <v>54</v>
      </c>
      <c r="H19" s="53" t="s">
        <v>55</v>
      </c>
      <c r="I19" s="54" t="s">
        <v>56</v>
      </c>
      <c r="J19" s="7" t="s">
        <v>57</v>
      </c>
      <c r="K19" s="7"/>
      <c r="L19" s="7"/>
    </row>
    <row r="20" spans="1:12" ht="24" customHeight="1" x14ac:dyDescent="0.25">
      <c r="A20" s="41" t="s">
        <v>58</v>
      </c>
      <c r="B20" s="21">
        <f t="shared" si="8"/>
        <v>0.5</v>
      </c>
      <c r="C20" s="42" t="str">
        <f t="shared" si="9"/>
        <v>36.6442864123329%</v>
      </c>
      <c r="D20" s="42" t="str">
        <f t="shared" si="9"/>
        <v>63.3557135876672%</v>
      </c>
      <c r="E20" s="42" t="str">
        <f t="shared" si="9"/>
        <v>26.7114271753343%</v>
      </c>
      <c r="F20" s="24">
        <f t="shared" si="10"/>
        <v>12.5</v>
      </c>
      <c r="G20" s="43" t="s">
        <v>42</v>
      </c>
      <c r="H20" s="44" t="s">
        <v>43</v>
      </c>
      <c r="I20" s="48" t="s">
        <v>59</v>
      </c>
      <c r="J20" s="9" t="s">
        <v>60</v>
      </c>
      <c r="K20" s="9"/>
      <c r="L20" s="9"/>
    </row>
    <row r="21" spans="1:12" ht="24" customHeight="1" x14ac:dyDescent="0.25">
      <c r="A21" s="46" t="s">
        <v>61</v>
      </c>
      <c r="B21" s="26">
        <f t="shared" si="8"/>
        <v>0.9</v>
      </c>
      <c r="C21" s="47" t="str">
        <f t="shared" si="9"/>
        <v>78.6395096652116%</v>
      </c>
      <c r="D21" s="47" t="str">
        <f t="shared" si="9"/>
        <v>95.6524876008429%</v>
      </c>
      <c r="E21" s="47" t="str">
        <f t="shared" si="9"/>
        <v>17.0129779356313%</v>
      </c>
      <c r="F21" s="29">
        <f t="shared" si="10"/>
        <v>4.4999999999999991</v>
      </c>
      <c r="G21" s="49" t="s">
        <v>50</v>
      </c>
      <c r="H21" s="55" t="s">
        <v>43</v>
      </c>
      <c r="I21" s="48" t="s">
        <v>62</v>
      </c>
      <c r="J21" s="8" t="s">
        <v>63</v>
      </c>
      <c r="K21" s="8"/>
      <c r="L21" s="8"/>
    </row>
    <row r="23" spans="1:12" ht="21.75" customHeight="1" x14ac:dyDescent="0.25">
      <c r="A23" s="6" t="s">
        <v>64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31.5" customHeight="1" x14ac:dyDescent="0.25">
      <c r="A24" s="56" t="s">
        <v>65</v>
      </c>
      <c r="B24" s="5" t="s">
        <v>66</v>
      </c>
      <c r="C24" s="5"/>
      <c r="D24" s="4" t="s">
        <v>67</v>
      </c>
      <c r="E24" s="4"/>
      <c r="F24" s="4"/>
      <c r="G24" s="4"/>
      <c r="H24" s="4"/>
      <c r="I24" s="4"/>
      <c r="J24" s="4"/>
      <c r="K24" s="4"/>
      <c r="L24" s="4"/>
    </row>
    <row r="25" spans="1:12" ht="31.5" customHeight="1" x14ac:dyDescent="0.25">
      <c r="A25" s="56" t="s">
        <v>68</v>
      </c>
      <c r="B25" s="3" t="s">
        <v>69</v>
      </c>
      <c r="C25" s="3"/>
      <c r="D25" s="2" t="s">
        <v>70</v>
      </c>
      <c r="E25" s="2"/>
      <c r="F25" s="2"/>
      <c r="G25" s="2"/>
      <c r="H25" s="2"/>
      <c r="I25" s="2"/>
      <c r="J25" s="2"/>
      <c r="K25" s="2"/>
      <c r="L25" s="2"/>
    </row>
    <row r="26" spans="1:12" ht="31.5" customHeight="1" x14ac:dyDescent="0.25">
      <c r="A26" s="56" t="s">
        <v>71</v>
      </c>
      <c r="B26" s="5" t="s">
        <v>72</v>
      </c>
      <c r="C26" s="5"/>
      <c r="D26" s="4" t="s">
        <v>73</v>
      </c>
      <c r="E26" s="4"/>
      <c r="F26" s="4"/>
      <c r="G26" s="4"/>
      <c r="H26" s="4"/>
      <c r="I26" s="4"/>
      <c r="J26" s="4"/>
      <c r="K26" s="4"/>
      <c r="L26" s="4"/>
    </row>
    <row r="27" spans="1:12" ht="31.5" customHeight="1" x14ac:dyDescent="0.25">
      <c r="A27" s="56" t="s">
        <v>74</v>
      </c>
      <c r="B27" s="3" t="s">
        <v>75</v>
      </c>
      <c r="C27" s="3"/>
      <c r="D27" s="2" t="s">
        <v>76</v>
      </c>
      <c r="E27" s="2"/>
      <c r="F27" s="2"/>
      <c r="G27" s="2"/>
      <c r="H27" s="2"/>
      <c r="I27" s="2"/>
      <c r="J27" s="2"/>
      <c r="K27" s="2"/>
      <c r="L27" s="2"/>
    </row>
    <row r="28" spans="1:12" ht="31.5" customHeight="1" x14ac:dyDescent="0.25">
      <c r="A28" s="56" t="s">
        <v>77</v>
      </c>
      <c r="B28" s="5" t="s">
        <v>78</v>
      </c>
      <c r="C28" s="5"/>
      <c r="D28" s="4" t="s">
        <v>79</v>
      </c>
      <c r="E28" s="4"/>
      <c r="F28" s="4"/>
      <c r="G28" s="4"/>
      <c r="H28" s="4"/>
      <c r="I28" s="4"/>
      <c r="J28" s="4"/>
      <c r="K28" s="4"/>
      <c r="L28" s="4"/>
    </row>
    <row r="30" spans="1:12" ht="21.75" customHeight="1" x14ac:dyDescent="0.25">
      <c r="A30" s="6" t="s">
        <v>80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ht="19.5" customHeight="1" x14ac:dyDescent="0.25">
      <c r="A31" s="57" t="s">
        <v>81</v>
      </c>
      <c r="B31" s="1" t="s">
        <v>82</v>
      </c>
      <c r="C31" s="1"/>
      <c r="D31" s="1"/>
      <c r="E31" s="1"/>
      <c r="F31" s="9" t="s">
        <v>83</v>
      </c>
      <c r="G31" s="9"/>
      <c r="H31" s="9"/>
      <c r="I31" s="9"/>
      <c r="J31" s="9"/>
      <c r="K31" s="9"/>
      <c r="L31" s="9"/>
    </row>
    <row r="32" spans="1:12" ht="19.5" customHeight="1" x14ac:dyDescent="0.25">
      <c r="A32" s="58" t="s">
        <v>84</v>
      </c>
      <c r="B32" s="59" t="s">
        <v>85</v>
      </c>
      <c r="C32" s="59"/>
      <c r="D32" s="59"/>
      <c r="E32" s="59"/>
      <c r="F32" s="8" t="s">
        <v>86</v>
      </c>
      <c r="G32" s="8"/>
      <c r="H32" s="8"/>
      <c r="I32" s="8"/>
      <c r="J32" s="8"/>
      <c r="K32" s="8"/>
      <c r="L32" s="8"/>
    </row>
    <row r="33" spans="1:12" ht="19.5" customHeight="1" x14ac:dyDescent="0.25">
      <c r="A33" s="57" t="s">
        <v>87</v>
      </c>
      <c r="B33" s="1" t="s">
        <v>88</v>
      </c>
      <c r="C33" s="1"/>
      <c r="D33" s="1"/>
      <c r="E33" s="1"/>
      <c r="F33" s="9" t="s">
        <v>89</v>
      </c>
      <c r="G33" s="9"/>
      <c r="H33" s="9"/>
      <c r="I33" s="9"/>
      <c r="J33" s="9"/>
      <c r="K33" s="9"/>
      <c r="L33" s="9"/>
    </row>
    <row r="34" spans="1:12" ht="19.5" customHeight="1" x14ac:dyDescent="0.25">
      <c r="A34" s="58" t="s">
        <v>33</v>
      </c>
      <c r="B34" s="59" t="s">
        <v>90</v>
      </c>
      <c r="C34" s="59"/>
      <c r="D34" s="59"/>
      <c r="E34" s="59"/>
      <c r="F34" s="8" t="s">
        <v>91</v>
      </c>
      <c r="G34" s="8"/>
      <c r="H34" s="8"/>
      <c r="I34" s="8"/>
      <c r="J34" s="8"/>
      <c r="K34" s="8"/>
      <c r="L34" s="8"/>
    </row>
    <row r="35" spans="1:12" ht="19.5" customHeight="1" x14ac:dyDescent="0.25">
      <c r="A35" s="57" t="s">
        <v>34</v>
      </c>
      <c r="B35" s="1" t="s">
        <v>92</v>
      </c>
      <c r="C35" s="1"/>
      <c r="D35" s="1"/>
      <c r="E35" s="1"/>
      <c r="F35" s="9" t="s">
        <v>93</v>
      </c>
      <c r="G35" s="9"/>
      <c r="H35" s="9"/>
      <c r="I35" s="9"/>
      <c r="J35" s="9"/>
      <c r="K35" s="9"/>
      <c r="L35" s="9"/>
    </row>
    <row r="36" spans="1:12" ht="19.5" customHeight="1" x14ac:dyDescent="0.25">
      <c r="A36" s="58" t="s">
        <v>94</v>
      </c>
      <c r="B36" s="59" t="s">
        <v>95</v>
      </c>
      <c r="C36" s="59"/>
      <c r="D36" s="59"/>
      <c r="E36" s="59"/>
      <c r="F36" s="8" t="s">
        <v>96</v>
      </c>
      <c r="G36" s="8"/>
      <c r="H36" s="8"/>
      <c r="I36" s="8"/>
      <c r="J36" s="8"/>
      <c r="K36" s="8"/>
      <c r="L36" s="8"/>
    </row>
    <row r="37" spans="1:12" ht="19.5" customHeight="1" x14ac:dyDescent="0.25">
      <c r="A37" s="57" t="s">
        <v>97</v>
      </c>
      <c r="B37" s="1" t="s">
        <v>98</v>
      </c>
      <c r="C37" s="1"/>
      <c r="D37" s="1"/>
      <c r="E37" s="1"/>
      <c r="F37" s="9" t="s">
        <v>99</v>
      </c>
      <c r="G37" s="9"/>
      <c r="H37" s="9"/>
      <c r="I37" s="9"/>
      <c r="J37" s="9"/>
      <c r="K37" s="9"/>
      <c r="L37" s="9"/>
    </row>
  </sheetData>
  <mergeCells count="39">
    <mergeCell ref="B35:E35"/>
    <mergeCell ref="F35:L35"/>
    <mergeCell ref="B36:E36"/>
    <mergeCell ref="F36:L36"/>
    <mergeCell ref="B37:E37"/>
    <mergeCell ref="F37:L37"/>
    <mergeCell ref="B32:E32"/>
    <mergeCell ref="F32:L32"/>
    <mergeCell ref="B33:E33"/>
    <mergeCell ref="F33:L33"/>
    <mergeCell ref="B34:E34"/>
    <mergeCell ref="F34:L34"/>
    <mergeCell ref="B28:C28"/>
    <mergeCell ref="D28:L28"/>
    <mergeCell ref="A30:L30"/>
    <mergeCell ref="B31:E31"/>
    <mergeCell ref="F31:L31"/>
    <mergeCell ref="B25:C25"/>
    <mergeCell ref="D25:L25"/>
    <mergeCell ref="B26:C26"/>
    <mergeCell ref="D26:L26"/>
    <mergeCell ref="B27:C27"/>
    <mergeCell ref="D27:L27"/>
    <mergeCell ref="J19:L19"/>
    <mergeCell ref="J20:L20"/>
    <mergeCell ref="J21:L21"/>
    <mergeCell ref="A23:L23"/>
    <mergeCell ref="B24:C24"/>
    <mergeCell ref="D24:L24"/>
    <mergeCell ref="A14:L14"/>
    <mergeCell ref="J15:L15"/>
    <mergeCell ref="J16:L16"/>
    <mergeCell ref="J17:L17"/>
    <mergeCell ref="J18:L18"/>
    <mergeCell ref="A1:L1"/>
    <mergeCell ref="A2:L2"/>
    <mergeCell ref="A3:L3"/>
    <mergeCell ref="A4:B4"/>
    <mergeCell ref="C4:L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Wilson Score CI - HallRR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Angga Pratama</cp:lastModifiedBy>
  <cp:revision>0</cp:revision>
  <dcterms:created xsi:type="dcterms:W3CDTF">2026-04-16T10:05:03Z</dcterms:created>
  <dcterms:modified xsi:type="dcterms:W3CDTF">2026-04-16T10:59:11Z</dcterms:modified>
  <dc:language>en-US</dc:language>
</cp:coreProperties>
</file>